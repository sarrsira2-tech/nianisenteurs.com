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Niani Senteurs\"/>
    </mc:Choice>
  </mc:AlternateContent>
  <xr:revisionPtr revIDLastSave="0" documentId="8_{54641C76-8313-4166-ACC7-8D16E2FADA3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Grille Comparaison" sheetId="1" r:id="rId1"/>
    <sheet name="Suivi des Prix" sheetId="2" r:id="rId2"/>
    <sheet name="Suivi Contacts" sheetId="3" r:id="rId3"/>
    <sheet name="Checklist Décisio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4" l="1"/>
  <c r="F14" i="4"/>
  <c r="F15" i="4" s="1"/>
  <c r="E14" i="4"/>
  <c r="E15" i="4" s="1"/>
  <c r="D14" i="4"/>
  <c r="D15" i="4" s="1"/>
  <c r="C14" i="4"/>
  <c r="C15" i="4" s="1"/>
  <c r="B14" i="4"/>
  <c r="H13" i="2"/>
  <c r="J13" i="2" s="1"/>
  <c r="L13" i="2" s="1"/>
  <c r="E13" i="2"/>
  <c r="H12" i="2"/>
  <c r="J12" i="2" s="1"/>
  <c r="L12" i="2" s="1"/>
  <c r="E12" i="2"/>
  <c r="H11" i="2"/>
  <c r="J11" i="2" s="1"/>
  <c r="L11" i="2" s="1"/>
  <c r="E11" i="2"/>
  <c r="H10" i="2"/>
  <c r="J10" i="2" s="1"/>
  <c r="L10" i="2" s="1"/>
  <c r="E10" i="2"/>
  <c r="H9" i="2"/>
  <c r="J9" i="2" s="1"/>
  <c r="L9" i="2" s="1"/>
  <c r="E9" i="2"/>
  <c r="H8" i="2"/>
  <c r="J8" i="2" s="1"/>
  <c r="L8" i="2" s="1"/>
  <c r="E8" i="2"/>
  <c r="H7" i="2"/>
  <c r="J7" i="2" s="1"/>
  <c r="L7" i="2" s="1"/>
  <c r="E7" i="2"/>
  <c r="H6" i="2"/>
  <c r="J6" i="2" s="1"/>
  <c r="L6" i="2" s="1"/>
  <c r="E6" i="2"/>
  <c r="H5" i="2"/>
  <c r="J5" i="2" s="1"/>
  <c r="L5" i="2" s="1"/>
  <c r="E5" i="2"/>
  <c r="H4" i="2"/>
  <c r="J4" i="2" s="1"/>
  <c r="L4" i="2" s="1"/>
  <c r="E4" i="2"/>
</calcChain>
</file>

<file path=xl/sharedStrings.xml><?xml version="1.0" encoding="utf-8"?>
<sst xmlns="http://schemas.openxmlformats.org/spreadsheetml/2006/main" count="137" uniqueCount="89">
  <si>
    <t>NIANI SENTEURS — Grille de Comparaison Fournisseurs OEM</t>
  </si>
  <si>
    <t>À remplir au fur et à mesure des réponses — Oud &amp; Musc Chaud · Tahara · Floral Oriental</t>
  </si>
  <si>
    <t>Critère</t>
  </si>
  <si>
    <t>Dôm Lab</t>
  </si>
  <si>
    <t>Cosmetiklab</t>
  </si>
  <si>
    <t>Carmel Labs</t>
  </si>
  <si>
    <t>Be Artisan</t>
  </si>
  <si>
    <t>Platform Lab</t>
  </si>
  <si>
    <t>Notes</t>
  </si>
  <si>
    <t>QUALITÉ &amp; TECHNIQUE</t>
  </si>
  <si>
    <t>Formule de base adaptable</t>
  </si>
  <si>
    <t>Développement fragrance personnalisée</t>
  </si>
  <si>
    <t>Adaptation peaux riches en mélanine</t>
  </si>
  <si>
    <t>Stabilité jusqu'à 40°C</t>
  </si>
  <si>
    <t>Tests de stabilité + rapports</t>
  </si>
  <si>
    <t>Fourniture INCI et fiches techniques</t>
  </si>
  <si>
    <t>Conformité normes UE / internationales</t>
  </si>
  <si>
    <t>PRODUCTION &amp; LOGISTIQUE</t>
  </si>
  <si>
    <t>MOQ crème 230ml</t>
  </si>
  <si>
    <t>MOQ brume 236ml</t>
  </si>
  <si>
    <t>Délai de production (semaines)</t>
  </si>
  <si>
    <t>Délai livraison Dakar (semaines)</t>
  </si>
  <si>
    <t>Conditions de paiement</t>
  </si>
  <si>
    <t>Production test 100–300 unités acceptée</t>
  </si>
  <si>
    <t>PACKAGING &amp; BRANDING</t>
  </si>
  <si>
    <t>Tube 230ml disponible</t>
  </si>
  <si>
    <t>Spray 236ml disponible</t>
  </si>
  <si>
    <t>Design personnalisé possible</t>
  </si>
  <si>
    <t>Coffret premium réalisable</t>
  </si>
  <si>
    <t>Expérience marques africaines / internationales</t>
  </si>
  <si>
    <t>CONFORMITÉ &amp; FIABILITÉ</t>
  </si>
  <si>
    <t>Certification ISO 22716 / BPF / GMP / FDA</t>
  </si>
  <si>
    <t>Expérience export Sénégal / Afrique subsaharienne</t>
  </si>
  <si>
    <t>Transparence délais et coûts</t>
  </si>
  <si>
    <t>Réactivité et disponibilité</t>
  </si>
  <si>
    <t>Légende suggérée :   ✓ = Oui   ✗ = Non   ~ = Partiel   ? = À confirmer   puis noter le détail dans la colonne Notes</t>
  </si>
  <si>
    <t>NIANI SENTEURS — Feuille de Suivi des Prix</t>
  </si>
  <si>
    <t>Taux de change utilisé (FCFA/USD) — modifier en I2 si besoin</t>
  </si>
  <si>
    <t>Taux FCFA/USD :</t>
  </si>
  <si>
    <t>Fournisseur</t>
  </si>
  <si>
    <t>Produit</t>
  </si>
  <si>
    <t>Volume</t>
  </si>
  <si>
    <t>Prix usine (USD)</t>
  </si>
  <si>
    <t>Prix usine (FCFA)</t>
  </si>
  <si>
    <t>FOB/CIF (USD)</t>
  </si>
  <si>
    <t>Transport Dakar (USD)</t>
  </si>
  <si>
    <t>Coût rendu Dakar (FCFA)</t>
  </si>
  <si>
    <t>Packaging unitaire (FCFA)</t>
  </si>
  <si>
    <t>Coût total unitaire (FCFA)</t>
  </si>
  <si>
    <t>Prix vente conseillé (FCFA)</t>
  </si>
  <si>
    <t>Marge brute</t>
  </si>
  <si>
    <t>Crème Corps 230ml</t>
  </si>
  <si>
    <t>100–300</t>
  </si>
  <si>
    <t>Brume Parfumée 236ml</t>
  </si>
  <si>
    <t>Cellules en jaune = à remplir manuellement  |  Cellules blanches = calculées automatiquement  |  Taux FCFA/USD modifiable en I2</t>
  </si>
  <si>
    <t>NIANI SENTEURS — Suivi des Contacts Fournisseurs</t>
  </si>
  <si>
    <t>Contact / Email</t>
  </si>
  <si>
    <t>Date envoi dossier</t>
  </si>
  <si>
    <t>Réponse reçue ?</t>
  </si>
  <si>
    <t>Date réponse</t>
  </si>
  <si>
    <t>MOQ confirmé</t>
  </si>
  <si>
    <t>Prix unitaire</t>
  </si>
  <si>
    <t>Délai production</t>
  </si>
  <si>
    <t>Statut</t>
  </si>
  <si>
    <t>+32 491 33 30 28 / formulaire</t>
  </si>
  <si>
    <t>Non</t>
  </si>
  <si>
    <t>Envoyé</t>
  </si>
  <si>
    <t>formulaire site</t>
  </si>
  <si>
    <t>formulaire site — 3,29$ crème confirmé</t>
  </si>
  <si>
    <t>Partiel</t>
  </si>
  <si>
    <t>À confirmer</t>
  </si>
  <si>
    <t>3,29 USD</t>
  </si>
  <si>
    <t>En cours</t>
  </si>
  <si>
    <t>Prix crème confirmé sur simulateur</t>
  </si>
  <si>
    <t>NIANI SENTEURS — Checklist de Décision Finale</t>
  </si>
  <si>
    <t>Notez chaque fournisseur de 1 à 5 pour chaque critère — la moyenne est calculée automatiquement</t>
  </si>
  <si>
    <t>Formule de base adaptable (1–5)</t>
  </si>
  <si>
    <t>Fragrance personnalisable (1–5)</t>
  </si>
  <si>
    <t>Stabilité 40°C confirmée (1–5)</t>
  </si>
  <si>
    <t>MOQ acceptable — 100–300 unités (1–5)</t>
  </si>
  <si>
    <t>Prix compétitif — marge 3x minimum (1–5)</t>
  </si>
  <si>
    <t>Packaging premium disponible (1–5)</t>
  </si>
  <si>
    <t>Délai de livraison Dakar acceptable (1–5)</t>
  </si>
  <si>
    <t>Conformité normes internationales (1–5)</t>
  </si>
  <si>
    <t>Réactivité et professionnalisme (1–5)</t>
  </si>
  <si>
    <t>Expérience export Afrique (1–5)</t>
  </si>
  <si>
    <t>SCORE MOYEN / 5</t>
  </si>
  <si>
    <t>RECOMMANDATION</t>
  </si>
  <si>
    <t>Score ≥ 4 = ✓ Retenir   |   Score 3–4 = ~ À négocier   |   Score &lt; 3 = ✗ Éliminer   |   Cellules jaunes = à remplir (note de 1 à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</si>
</sst>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charset val="1"/>
    </font>
    <font>
      <b/>
      <sz val="14"/>
      <color rgb="FFC9A84C"/>
      <name val="Georgia"/>
      <charset val="1"/>
    </font>
    <font>
      <i/>
      <sz val="9"/>
      <color rgb="FF888888"/>
      <name val="Arial"/>
      <charset val="1"/>
    </font>
    <font>
      <b/>
      <sz val="10"/>
      <color rgb="FFFFFFFF"/>
      <name val="Arial"/>
      <charset val="1"/>
    </font>
    <font>
      <b/>
      <sz val="10"/>
      <color rgb="FF3D2010"/>
      <name val="Arial"/>
      <charset val="1"/>
    </font>
    <font>
      <sz val="10"/>
      <color rgb="FF8B4513"/>
      <name val="Arial"/>
      <charset val="1"/>
    </font>
    <font>
      <b/>
      <sz val="10"/>
      <color rgb="FF8B4513"/>
      <name val="Arial"/>
      <charset val="1"/>
    </font>
    <font>
      <b/>
      <sz val="10"/>
      <color rgb="FF0000FF"/>
      <name val="Arial"/>
      <charset val="1"/>
    </font>
    <font>
      <b/>
      <sz val="9"/>
      <color rgb="FFFFFFFF"/>
      <name val="Arial"/>
      <charset val="1"/>
    </font>
    <font>
      <sz val="10"/>
      <color rgb="FF3D2010"/>
      <name val="Arial"/>
      <charset val="1"/>
    </font>
    <font>
      <sz val="10"/>
      <color rgb="FF0000FF"/>
      <name val="Arial"/>
      <charset val="1"/>
    </font>
    <font>
      <b/>
      <sz val="11"/>
      <color rgb="FF0000FF"/>
      <name val="Arial"/>
      <charset val="1"/>
    </font>
    <font>
      <b/>
      <sz val="11"/>
      <color rgb="FF3D20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8B4513"/>
        <bgColor rgb="FF993366"/>
      </patternFill>
    </fill>
    <fill>
      <patternFill patternType="solid">
        <fgColor rgb="FFF5E6C0"/>
        <bgColor rgb="FFFDF3DC"/>
      </patternFill>
    </fill>
    <fill>
      <patternFill patternType="solid">
        <fgColor rgb="FFC9A84C"/>
        <bgColor rgb="FFD4B89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DF3DC"/>
      </patternFill>
    </fill>
    <fill>
      <patternFill patternType="solid">
        <fgColor rgb="FFFDF3DC"/>
        <bgColor rgb="FFF2F2F2"/>
      </patternFill>
    </fill>
    <fill>
      <patternFill patternType="solid">
        <fgColor rgb="FF27AE60"/>
        <bgColor rgb="FF008080"/>
      </patternFill>
    </fill>
    <fill>
      <patternFill patternType="solid">
        <fgColor rgb="FFF39C12"/>
        <bgColor rgb="FFC9A84C"/>
      </patternFill>
    </fill>
  </fills>
  <borders count="4">
    <border>
      <left/>
      <right/>
      <top/>
      <bottom/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  <border>
      <left style="thin">
        <color rgb="FFD4B896"/>
      </left>
      <right/>
      <top style="thin">
        <color rgb="FFD4B896"/>
      </top>
      <bottom style="thin">
        <color rgb="FFD4B896"/>
      </bottom>
      <diagonal/>
    </border>
    <border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6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B896"/>
      <rgbColor rgb="FF888888"/>
      <rgbColor rgb="FF9999FF"/>
      <rgbColor rgb="FF993366"/>
      <rgbColor rgb="FFFDF3D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FF6600"/>
      <rgbColor rgb="FF666699"/>
      <rgbColor rgb="FFC9A84C"/>
      <rgbColor rgb="FF003366"/>
      <rgbColor rgb="FF27AE60"/>
      <rgbColor rgb="FF003300"/>
      <rgbColor rgb="FF3D2010"/>
      <rgbColor rgb="FF8B451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tabSelected="1" zoomScaleNormal="100" workbookViewId="0">
      <selection sqref="A1:G1"/>
    </sheetView>
  </sheetViews>
  <sheetFormatPr baseColWidth="10" defaultColWidth="8.6328125" defaultRowHeight="14.5" x14ac:dyDescent="0.35"/>
  <cols>
    <col min="1" max="1" width="38" customWidth="1"/>
    <col min="2" max="6" width="16" customWidth="1"/>
    <col min="7" max="7" width="24" customWidth="1"/>
  </cols>
  <sheetData>
    <row r="1" spans="1:7" ht="36" customHeight="1" x14ac:dyDescent="0.35">
      <c r="A1" s="6" t="s">
        <v>0</v>
      </c>
      <c r="B1" s="6"/>
      <c r="C1" s="6"/>
      <c r="D1" s="6"/>
      <c r="E1" s="6"/>
      <c r="F1" s="6"/>
      <c r="G1" s="6"/>
    </row>
    <row r="2" spans="1:7" ht="18" customHeight="1" x14ac:dyDescent="0.35">
      <c r="A2" s="5" t="s">
        <v>1</v>
      </c>
      <c r="B2" s="5"/>
      <c r="C2" s="5"/>
      <c r="D2" s="5"/>
      <c r="E2" s="5"/>
      <c r="F2" s="5"/>
      <c r="G2" s="5"/>
    </row>
    <row r="3" spans="1:7" ht="27.75" customHeigh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ht="21.75" customHeight="1" x14ac:dyDescent="0.35">
      <c r="A4" s="4" t="s">
        <v>9</v>
      </c>
      <c r="B4" s="4"/>
      <c r="C4" s="4"/>
      <c r="D4" s="4"/>
      <c r="E4" s="4"/>
      <c r="F4" s="4"/>
      <c r="G4" s="4"/>
    </row>
    <row r="5" spans="1:7" ht="21.75" customHeight="1" x14ac:dyDescent="0.35">
      <c r="A5" s="8" t="s">
        <v>10</v>
      </c>
      <c r="B5" s="9"/>
      <c r="C5" s="9"/>
      <c r="D5" s="9"/>
      <c r="E5" s="9"/>
      <c r="F5" s="9"/>
      <c r="G5" s="10"/>
    </row>
    <row r="6" spans="1:7" ht="21.75" customHeight="1" x14ac:dyDescent="0.35">
      <c r="A6" s="11" t="s">
        <v>11</v>
      </c>
      <c r="B6" s="12"/>
      <c r="C6" s="12"/>
      <c r="D6" s="12"/>
      <c r="E6" s="12"/>
      <c r="F6" s="12"/>
      <c r="G6" s="10"/>
    </row>
    <row r="7" spans="1:7" ht="21.75" customHeight="1" x14ac:dyDescent="0.35">
      <c r="A7" s="8" t="s">
        <v>12</v>
      </c>
      <c r="B7" s="9"/>
      <c r="C7" s="9"/>
      <c r="D7" s="9"/>
      <c r="E7" s="9"/>
      <c r="F7" s="9"/>
      <c r="G7" s="10"/>
    </row>
    <row r="8" spans="1:7" ht="21.75" customHeight="1" x14ac:dyDescent="0.35">
      <c r="A8" s="11" t="s">
        <v>13</v>
      </c>
      <c r="B8" s="12"/>
      <c r="C8" s="12"/>
      <c r="D8" s="12"/>
      <c r="E8" s="12"/>
      <c r="F8" s="12"/>
      <c r="G8" s="10"/>
    </row>
    <row r="9" spans="1:7" ht="21.75" customHeight="1" x14ac:dyDescent="0.35">
      <c r="A9" s="8" t="s">
        <v>14</v>
      </c>
      <c r="B9" s="9"/>
      <c r="C9" s="9"/>
      <c r="D9" s="9"/>
      <c r="E9" s="9"/>
      <c r="F9" s="9"/>
      <c r="G9" s="10"/>
    </row>
    <row r="10" spans="1:7" ht="21.75" customHeight="1" x14ac:dyDescent="0.35">
      <c r="A10" s="11" t="s">
        <v>15</v>
      </c>
      <c r="B10" s="12"/>
      <c r="C10" s="12"/>
      <c r="D10" s="12"/>
      <c r="E10" s="12"/>
      <c r="F10" s="12"/>
      <c r="G10" s="10"/>
    </row>
    <row r="11" spans="1:7" ht="21.75" customHeight="1" x14ac:dyDescent="0.35">
      <c r="A11" s="8" t="s">
        <v>16</v>
      </c>
      <c r="B11" s="9"/>
      <c r="C11" s="9"/>
      <c r="D11" s="9"/>
      <c r="E11" s="9"/>
      <c r="F11" s="9"/>
      <c r="G11" s="10"/>
    </row>
    <row r="12" spans="1:7" ht="21.75" customHeight="1" x14ac:dyDescent="0.35">
      <c r="A12" s="4" t="s">
        <v>17</v>
      </c>
      <c r="B12" s="4"/>
      <c r="C12" s="4"/>
      <c r="D12" s="4"/>
      <c r="E12" s="4"/>
      <c r="F12" s="4"/>
      <c r="G12" s="4"/>
    </row>
    <row r="13" spans="1:7" ht="21.75" customHeight="1" x14ac:dyDescent="0.35">
      <c r="A13" s="8" t="s">
        <v>18</v>
      </c>
      <c r="B13" s="9"/>
      <c r="C13" s="9"/>
      <c r="D13" s="9"/>
      <c r="E13" s="9"/>
      <c r="F13" s="9"/>
      <c r="G13" s="10"/>
    </row>
    <row r="14" spans="1:7" ht="21.75" customHeight="1" x14ac:dyDescent="0.35">
      <c r="A14" s="11" t="s">
        <v>19</v>
      </c>
      <c r="B14" s="12"/>
      <c r="C14" s="12"/>
      <c r="D14" s="12"/>
      <c r="E14" s="12"/>
      <c r="F14" s="12"/>
      <c r="G14" s="10"/>
    </row>
    <row r="15" spans="1:7" ht="21.75" customHeight="1" x14ac:dyDescent="0.35">
      <c r="A15" s="8" t="s">
        <v>20</v>
      </c>
      <c r="B15" s="9"/>
      <c r="C15" s="9"/>
      <c r="D15" s="9"/>
      <c r="E15" s="9"/>
      <c r="F15" s="9"/>
      <c r="G15" s="10"/>
    </row>
    <row r="16" spans="1:7" ht="21.75" customHeight="1" x14ac:dyDescent="0.35">
      <c r="A16" s="11" t="s">
        <v>21</v>
      </c>
      <c r="B16" s="12"/>
      <c r="C16" s="12"/>
      <c r="D16" s="12"/>
      <c r="E16" s="12"/>
      <c r="F16" s="12"/>
      <c r="G16" s="10"/>
    </row>
    <row r="17" spans="1:7" ht="21.75" customHeight="1" x14ac:dyDescent="0.35">
      <c r="A17" s="8" t="s">
        <v>22</v>
      </c>
      <c r="B17" s="9"/>
      <c r="C17" s="9"/>
      <c r="D17" s="9"/>
      <c r="E17" s="9"/>
      <c r="F17" s="9"/>
      <c r="G17" s="10"/>
    </row>
    <row r="18" spans="1:7" ht="21.75" customHeight="1" x14ac:dyDescent="0.35">
      <c r="A18" s="11" t="s">
        <v>23</v>
      </c>
      <c r="B18" s="12"/>
      <c r="C18" s="12"/>
      <c r="D18" s="12"/>
      <c r="E18" s="12"/>
      <c r="F18" s="12"/>
      <c r="G18" s="10"/>
    </row>
    <row r="19" spans="1:7" ht="21.75" customHeight="1" x14ac:dyDescent="0.35">
      <c r="A19" s="4" t="s">
        <v>24</v>
      </c>
      <c r="B19" s="4"/>
      <c r="C19" s="4"/>
      <c r="D19" s="4"/>
      <c r="E19" s="4"/>
      <c r="F19" s="4"/>
      <c r="G19" s="4"/>
    </row>
    <row r="20" spans="1:7" ht="21.75" customHeight="1" x14ac:dyDescent="0.35">
      <c r="A20" s="11" t="s">
        <v>25</v>
      </c>
      <c r="B20" s="12"/>
      <c r="C20" s="12"/>
      <c r="D20" s="12"/>
      <c r="E20" s="12"/>
      <c r="F20" s="12"/>
      <c r="G20" s="10"/>
    </row>
    <row r="21" spans="1:7" ht="21.75" customHeight="1" x14ac:dyDescent="0.35">
      <c r="A21" s="8" t="s">
        <v>26</v>
      </c>
      <c r="B21" s="9"/>
      <c r="C21" s="9"/>
      <c r="D21" s="9"/>
      <c r="E21" s="9"/>
      <c r="F21" s="9"/>
      <c r="G21" s="10"/>
    </row>
    <row r="22" spans="1:7" ht="21.75" customHeight="1" x14ac:dyDescent="0.35">
      <c r="A22" s="11" t="s">
        <v>27</v>
      </c>
      <c r="B22" s="12"/>
      <c r="C22" s="12"/>
      <c r="D22" s="12"/>
      <c r="E22" s="12"/>
      <c r="F22" s="12"/>
      <c r="G22" s="10"/>
    </row>
    <row r="23" spans="1:7" ht="21.75" customHeight="1" x14ac:dyDescent="0.35">
      <c r="A23" s="8" t="s">
        <v>28</v>
      </c>
      <c r="B23" s="9"/>
      <c r="C23" s="9"/>
      <c r="D23" s="9"/>
      <c r="E23" s="9"/>
      <c r="F23" s="9"/>
      <c r="G23" s="10"/>
    </row>
    <row r="24" spans="1:7" ht="21.75" customHeight="1" x14ac:dyDescent="0.35">
      <c r="A24" s="11" t="s">
        <v>29</v>
      </c>
      <c r="B24" s="12"/>
      <c r="C24" s="12"/>
      <c r="D24" s="12"/>
      <c r="E24" s="12"/>
      <c r="F24" s="12"/>
      <c r="G24" s="10"/>
    </row>
    <row r="25" spans="1:7" ht="21.75" customHeight="1" x14ac:dyDescent="0.35">
      <c r="A25" s="4" t="s">
        <v>30</v>
      </c>
      <c r="B25" s="4"/>
      <c r="C25" s="4"/>
      <c r="D25" s="4"/>
      <c r="E25" s="4"/>
      <c r="F25" s="4"/>
      <c r="G25" s="4"/>
    </row>
    <row r="26" spans="1:7" ht="21.75" customHeight="1" x14ac:dyDescent="0.35">
      <c r="A26" s="11" t="s">
        <v>31</v>
      </c>
      <c r="B26" s="12"/>
      <c r="C26" s="12"/>
      <c r="D26" s="12"/>
      <c r="E26" s="12"/>
      <c r="F26" s="12"/>
      <c r="G26" s="10"/>
    </row>
    <row r="27" spans="1:7" ht="21.75" customHeight="1" x14ac:dyDescent="0.35">
      <c r="A27" s="8" t="s">
        <v>32</v>
      </c>
      <c r="B27" s="9"/>
      <c r="C27" s="9"/>
      <c r="D27" s="9"/>
      <c r="E27" s="9"/>
      <c r="F27" s="9"/>
      <c r="G27" s="10"/>
    </row>
    <row r="28" spans="1:7" ht="21.75" customHeight="1" x14ac:dyDescent="0.35">
      <c r="A28" s="11" t="s">
        <v>33</v>
      </c>
      <c r="B28" s="12"/>
      <c r="C28" s="12"/>
      <c r="D28" s="12"/>
      <c r="E28" s="12"/>
      <c r="F28" s="12"/>
      <c r="G28" s="10"/>
    </row>
    <row r="29" spans="1:7" ht="21.75" customHeight="1" x14ac:dyDescent="0.35">
      <c r="A29" s="8" t="s">
        <v>34</v>
      </c>
      <c r="B29" s="9"/>
      <c r="C29" s="9"/>
      <c r="D29" s="9"/>
      <c r="E29" s="9"/>
      <c r="F29" s="9"/>
      <c r="G29" s="10"/>
    </row>
    <row r="31" spans="1:7" ht="18" customHeight="1" x14ac:dyDescent="0.35">
      <c r="A31" s="3" t="s">
        <v>35</v>
      </c>
      <c r="B31" s="3"/>
      <c r="C31" s="3"/>
      <c r="D31" s="3"/>
      <c r="E31" s="3"/>
      <c r="F31" s="3"/>
      <c r="G31" s="3"/>
    </row>
  </sheetData>
  <mergeCells count="7">
    <mergeCell ref="A25:G25"/>
    <mergeCell ref="A31:G31"/>
    <mergeCell ref="A1:G1"/>
    <mergeCell ref="A2:G2"/>
    <mergeCell ref="A4:G4"/>
    <mergeCell ref="A12:G12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showGridLines="0" zoomScaleNormal="100" workbookViewId="0"/>
  </sheetViews>
  <sheetFormatPr baseColWidth="10" defaultColWidth="8.6328125" defaultRowHeight="14.5" x14ac:dyDescent="0.35"/>
  <cols>
    <col min="1" max="1" width="16" customWidth="1"/>
    <col min="2" max="2" width="12" customWidth="1"/>
    <col min="3" max="3" width="10" customWidth="1"/>
    <col min="4" max="5" width="16" customWidth="1"/>
    <col min="6" max="6" width="14" customWidth="1"/>
    <col min="7" max="7" width="18" customWidth="1"/>
    <col min="8" max="9" width="20" customWidth="1"/>
    <col min="10" max="11" width="22" customWidth="1"/>
    <col min="12" max="12" width="12" customWidth="1"/>
  </cols>
  <sheetData>
    <row r="1" spans="1:12" ht="36" customHeight="1" x14ac:dyDescent="0.35">
      <c r="A1" s="6" t="s">
        <v>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1.75" customHeight="1" x14ac:dyDescent="0.35">
      <c r="A2" s="2" t="s">
        <v>37</v>
      </c>
      <c r="B2" s="2"/>
      <c r="C2" s="2"/>
      <c r="D2" s="2"/>
      <c r="E2" s="2"/>
      <c r="F2" s="2"/>
      <c r="G2" s="2"/>
      <c r="H2" s="13" t="s">
        <v>38</v>
      </c>
      <c r="I2" s="14">
        <v>600</v>
      </c>
      <c r="J2" s="1"/>
      <c r="K2" s="1"/>
      <c r="L2" s="1"/>
    </row>
    <row r="3" spans="1:12" ht="31.5" customHeight="1" x14ac:dyDescent="0.35">
      <c r="A3" s="15" t="s">
        <v>39</v>
      </c>
      <c r="B3" s="15" t="s">
        <v>40</v>
      </c>
      <c r="C3" s="15" t="s">
        <v>41</v>
      </c>
      <c r="D3" s="15" t="s">
        <v>42</v>
      </c>
      <c r="E3" s="15" t="s">
        <v>43</v>
      </c>
      <c r="F3" s="15" t="s">
        <v>44</v>
      </c>
      <c r="G3" s="15" t="s">
        <v>45</v>
      </c>
      <c r="H3" s="15" t="s">
        <v>46</v>
      </c>
      <c r="I3" s="15" t="s">
        <v>47</v>
      </c>
      <c r="J3" s="15" t="s">
        <v>48</v>
      </c>
      <c r="K3" s="15" t="s">
        <v>49</v>
      </c>
      <c r="L3" s="15" t="s">
        <v>50</v>
      </c>
    </row>
    <row r="4" spans="1:12" ht="21.75" customHeight="1" x14ac:dyDescent="0.35">
      <c r="A4" s="11" t="s">
        <v>3</v>
      </c>
      <c r="B4" s="16" t="s">
        <v>51</v>
      </c>
      <c r="C4" s="17" t="s">
        <v>52</v>
      </c>
      <c r="D4" s="18"/>
      <c r="E4" s="19" t="str">
        <f t="shared" ref="E4:E13" si="0">IF(D4="","",D4*$I$2)</f>
        <v/>
      </c>
      <c r="F4" s="18"/>
      <c r="G4" s="18"/>
      <c r="H4" s="19" t="str">
        <f t="shared" ref="H4:H13" si="1">IF(D4="","",(D4+IF(F4="",0,F4)+IF(G4="",0,G4))*$I$2)</f>
        <v/>
      </c>
      <c r="I4" s="18"/>
      <c r="J4" s="20" t="str">
        <f t="shared" ref="J4:J13" si="2">IF(H4="","",H4+IF(I4="",0,I4))</f>
        <v/>
      </c>
      <c r="K4" s="18"/>
      <c r="L4" s="21" t="str">
        <f t="shared" ref="L4:L13" si="3">IF(OR(J4="",K4="",K4=0),"",(K4-J4)/K4)</f>
        <v/>
      </c>
    </row>
    <row r="5" spans="1:12" ht="21.75" customHeight="1" x14ac:dyDescent="0.35">
      <c r="A5" s="8" t="s">
        <v>3</v>
      </c>
      <c r="B5" s="22" t="s">
        <v>53</v>
      </c>
      <c r="C5" s="23" t="s">
        <v>52</v>
      </c>
      <c r="D5" s="18"/>
      <c r="E5" s="24" t="str">
        <f t="shared" si="0"/>
        <v/>
      </c>
      <c r="F5" s="18"/>
      <c r="G5" s="18"/>
      <c r="H5" s="24" t="str">
        <f t="shared" si="1"/>
        <v/>
      </c>
      <c r="I5" s="18"/>
      <c r="J5" s="25" t="str">
        <f t="shared" si="2"/>
        <v/>
      </c>
      <c r="K5" s="18"/>
      <c r="L5" s="26" t="str">
        <f t="shared" si="3"/>
        <v/>
      </c>
    </row>
    <row r="6" spans="1:12" ht="21.75" customHeight="1" x14ac:dyDescent="0.35">
      <c r="A6" s="11" t="s">
        <v>4</v>
      </c>
      <c r="B6" s="16" t="s">
        <v>51</v>
      </c>
      <c r="C6" s="17" t="s">
        <v>52</v>
      </c>
      <c r="D6" s="18"/>
      <c r="E6" s="19" t="str">
        <f t="shared" si="0"/>
        <v/>
      </c>
      <c r="F6" s="18"/>
      <c r="G6" s="18"/>
      <c r="H6" s="19" t="str">
        <f t="shared" si="1"/>
        <v/>
      </c>
      <c r="I6" s="18"/>
      <c r="J6" s="20" t="str">
        <f t="shared" si="2"/>
        <v/>
      </c>
      <c r="K6" s="18"/>
      <c r="L6" s="21" t="str">
        <f t="shared" si="3"/>
        <v/>
      </c>
    </row>
    <row r="7" spans="1:12" ht="21.75" customHeight="1" x14ac:dyDescent="0.35">
      <c r="A7" s="8" t="s">
        <v>4</v>
      </c>
      <c r="B7" s="22" t="s">
        <v>53</v>
      </c>
      <c r="C7" s="23" t="s">
        <v>52</v>
      </c>
      <c r="D7" s="18"/>
      <c r="E7" s="24" t="str">
        <f t="shared" si="0"/>
        <v/>
      </c>
      <c r="F7" s="18"/>
      <c r="G7" s="18"/>
      <c r="H7" s="24" t="str">
        <f t="shared" si="1"/>
        <v/>
      </c>
      <c r="I7" s="18"/>
      <c r="J7" s="25" t="str">
        <f t="shared" si="2"/>
        <v/>
      </c>
      <c r="K7" s="18"/>
      <c r="L7" s="26" t="str">
        <f t="shared" si="3"/>
        <v/>
      </c>
    </row>
    <row r="8" spans="1:12" ht="21.75" customHeight="1" x14ac:dyDescent="0.35">
      <c r="A8" s="11" t="s">
        <v>5</v>
      </c>
      <c r="B8" s="16" t="s">
        <v>51</v>
      </c>
      <c r="C8" s="17" t="s">
        <v>52</v>
      </c>
      <c r="D8" s="18"/>
      <c r="E8" s="19" t="str">
        <f t="shared" si="0"/>
        <v/>
      </c>
      <c r="F8" s="18"/>
      <c r="G8" s="18"/>
      <c r="H8" s="19" t="str">
        <f t="shared" si="1"/>
        <v/>
      </c>
      <c r="I8" s="18"/>
      <c r="J8" s="20" t="str">
        <f t="shared" si="2"/>
        <v/>
      </c>
      <c r="K8" s="18"/>
      <c r="L8" s="21" t="str">
        <f t="shared" si="3"/>
        <v/>
      </c>
    </row>
    <row r="9" spans="1:12" ht="21.75" customHeight="1" x14ac:dyDescent="0.35">
      <c r="A9" s="8" t="s">
        <v>5</v>
      </c>
      <c r="B9" s="22" t="s">
        <v>53</v>
      </c>
      <c r="C9" s="23" t="s">
        <v>52</v>
      </c>
      <c r="D9" s="18"/>
      <c r="E9" s="24" t="str">
        <f t="shared" si="0"/>
        <v/>
      </c>
      <c r="F9" s="18"/>
      <c r="G9" s="18"/>
      <c r="H9" s="24" t="str">
        <f t="shared" si="1"/>
        <v/>
      </c>
      <c r="I9" s="18"/>
      <c r="J9" s="25" t="str">
        <f t="shared" si="2"/>
        <v/>
      </c>
      <c r="K9" s="18"/>
      <c r="L9" s="26" t="str">
        <f t="shared" si="3"/>
        <v/>
      </c>
    </row>
    <row r="10" spans="1:12" ht="21.75" customHeight="1" x14ac:dyDescent="0.35">
      <c r="A10" s="11" t="s">
        <v>6</v>
      </c>
      <c r="B10" s="16" t="s">
        <v>51</v>
      </c>
      <c r="C10" s="17" t="s">
        <v>52</v>
      </c>
      <c r="D10" s="18"/>
      <c r="E10" s="19" t="str">
        <f t="shared" si="0"/>
        <v/>
      </c>
      <c r="F10" s="18"/>
      <c r="G10" s="18"/>
      <c r="H10" s="19" t="str">
        <f t="shared" si="1"/>
        <v/>
      </c>
      <c r="I10" s="18"/>
      <c r="J10" s="20" t="str">
        <f t="shared" si="2"/>
        <v/>
      </c>
      <c r="K10" s="18"/>
      <c r="L10" s="21" t="str">
        <f t="shared" si="3"/>
        <v/>
      </c>
    </row>
    <row r="11" spans="1:12" ht="21.75" customHeight="1" x14ac:dyDescent="0.35">
      <c r="A11" s="8" t="s">
        <v>6</v>
      </c>
      <c r="B11" s="22" t="s">
        <v>53</v>
      </c>
      <c r="C11" s="23" t="s">
        <v>52</v>
      </c>
      <c r="D11" s="18"/>
      <c r="E11" s="24" t="str">
        <f t="shared" si="0"/>
        <v/>
      </c>
      <c r="F11" s="18"/>
      <c r="G11" s="18"/>
      <c r="H11" s="24" t="str">
        <f t="shared" si="1"/>
        <v/>
      </c>
      <c r="I11" s="18"/>
      <c r="J11" s="25" t="str">
        <f t="shared" si="2"/>
        <v/>
      </c>
      <c r="K11" s="18"/>
      <c r="L11" s="26" t="str">
        <f t="shared" si="3"/>
        <v/>
      </c>
    </row>
    <row r="12" spans="1:12" ht="21.75" customHeight="1" x14ac:dyDescent="0.35">
      <c r="A12" s="11" t="s">
        <v>7</v>
      </c>
      <c r="B12" s="16" t="s">
        <v>51</v>
      </c>
      <c r="C12" s="17" t="s">
        <v>52</v>
      </c>
      <c r="D12" s="18"/>
      <c r="E12" s="19" t="str">
        <f t="shared" si="0"/>
        <v/>
      </c>
      <c r="F12" s="18"/>
      <c r="G12" s="18"/>
      <c r="H12" s="19" t="str">
        <f t="shared" si="1"/>
        <v/>
      </c>
      <c r="I12" s="18"/>
      <c r="J12" s="20" t="str">
        <f t="shared" si="2"/>
        <v/>
      </c>
      <c r="K12" s="18"/>
      <c r="L12" s="21" t="str">
        <f t="shared" si="3"/>
        <v/>
      </c>
    </row>
    <row r="13" spans="1:12" ht="21.75" customHeight="1" x14ac:dyDescent="0.35">
      <c r="A13" s="8" t="s">
        <v>7</v>
      </c>
      <c r="B13" s="22" t="s">
        <v>53</v>
      </c>
      <c r="C13" s="23" t="s">
        <v>52</v>
      </c>
      <c r="D13" s="18"/>
      <c r="E13" s="24" t="str">
        <f t="shared" si="0"/>
        <v/>
      </c>
      <c r="F13" s="18"/>
      <c r="G13" s="18"/>
      <c r="H13" s="24" t="str">
        <f t="shared" si="1"/>
        <v/>
      </c>
      <c r="I13" s="18"/>
      <c r="J13" s="25" t="str">
        <f t="shared" si="2"/>
        <v/>
      </c>
      <c r="K13" s="18"/>
      <c r="L13" s="26" t="str">
        <f t="shared" si="3"/>
        <v/>
      </c>
    </row>
    <row r="15" spans="1:12" ht="15" customHeight="1" x14ac:dyDescent="0.35">
      <c r="A15" s="3" t="s">
        <v>54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</sheetData>
  <mergeCells count="4">
    <mergeCell ref="A1:L1"/>
    <mergeCell ref="A2:G2"/>
    <mergeCell ref="J2:L2"/>
    <mergeCell ref="A15:L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showGridLines="0" zoomScaleNormal="100" workbookViewId="0"/>
  </sheetViews>
  <sheetFormatPr baseColWidth="10" defaultColWidth="8.6328125" defaultRowHeight="14.5" x14ac:dyDescent="0.35"/>
  <cols>
    <col min="1" max="1" width="16" customWidth="1"/>
    <col min="2" max="2" width="24" customWidth="1"/>
    <col min="3" max="4" width="16" customWidth="1"/>
    <col min="5" max="6" width="14" customWidth="1"/>
    <col min="7" max="8" width="16" customWidth="1"/>
    <col min="9" max="9" width="18" customWidth="1"/>
    <col min="10" max="10" width="30" customWidth="1"/>
  </cols>
  <sheetData>
    <row r="1" spans="1:10" ht="36" customHeight="1" x14ac:dyDescent="0.35">
      <c r="A1" s="6" t="s">
        <v>55</v>
      </c>
      <c r="B1" s="6"/>
      <c r="C1" s="6"/>
      <c r="D1" s="6"/>
      <c r="E1" s="6"/>
      <c r="F1" s="6"/>
      <c r="G1" s="6"/>
      <c r="H1" s="6"/>
      <c r="I1" s="6"/>
      <c r="J1" s="6"/>
    </row>
    <row r="2" spans="1:10" ht="27.75" customHeight="1" x14ac:dyDescent="0.35">
      <c r="A2" s="15" t="s">
        <v>39</v>
      </c>
      <c r="B2" s="15" t="s">
        <v>56</v>
      </c>
      <c r="C2" s="15" t="s">
        <v>57</v>
      </c>
      <c r="D2" s="15" t="s">
        <v>58</v>
      </c>
      <c r="E2" s="15" t="s">
        <v>59</v>
      </c>
      <c r="F2" s="15" t="s">
        <v>60</v>
      </c>
      <c r="G2" s="15" t="s">
        <v>61</v>
      </c>
      <c r="H2" s="15" t="s">
        <v>62</v>
      </c>
      <c r="I2" s="15" t="s">
        <v>63</v>
      </c>
      <c r="J2" s="15" t="s">
        <v>8</v>
      </c>
    </row>
    <row r="3" spans="1:10" ht="21.75" customHeight="1" x14ac:dyDescent="0.35">
      <c r="A3" s="27" t="s">
        <v>3</v>
      </c>
      <c r="B3" s="16" t="s">
        <v>64</v>
      </c>
      <c r="C3" s="16"/>
      <c r="D3" s="16" t="s">
        <v>65</v>
      </c>
      <c r="E3" s="16"/>
      <c r="F3" s="16"/>
      <c r="G3" s="16"/>
      <c r="H3" s="16"/>
      <c r="I3" s="28" t="s">
        <v>66</v>
      </c>
      <c r="J3" s="16"/>
    </row>
    <row r="4" spans="1:10" ht="21.75" customHeight="1" x14ac:dyDescent="0.35">
      <c r="A4" s="29" t="s">
        <v>4</v>
      </c>
      <c r="B4" s="22" t="s">
        <v>67</v>
      </c>
      <c r="C4" s="22"/>
      <c r="D4" s="22" t="s">
        <v>65</v>
      </c>
      <c r="E4" s="22"/>
      <c r="F4" s="22"/>
      <c r="G4" s="22"/>
      <c r="H4" s="22"/>
      <c r="I4" s="28" t="s">
        <v>66</v>
      </c>
      <c r="J4" s="22"/>
    </row>
    <row r="5" spans="1:10" ht="21.75" customHeight="1" x14ac:dyDescent="0.35">
      <c r="A5" s="27" t="s">
        <v>5</v>
      </c>
      <c r="B5" s="16" t="s">
        <v>67</v>
      </c>
      <c r="C5" s="16"/>
      <c r="D5" s="16" t="s">
        <v>65</v>
      </c>
      <c r="E5" s="16"/>
      <c r="F5" s="16"/>
      <c r="G5" s="16"/>
      <c r="H5" s="16"/>
      <c r="I5" s="28" t="s">
        <v>66</v>
      </c>
      <c r="J5" s="16"/>
    </row>
    <row r="6" spans="1:10" ht="21.75" customHeight="1" x14ac:dyDescent="0.35">
      <c r="A6" s="29" t="s">
        <v>6</v>
      </c>
      <c r="B6" s="22" t="s">
        <v>67</v>
      </c>
      <c r="C6" s="22"/>
      <c r="D6" s="22" t="s">
        <v>65</v>
      </c>
      <c r="E6" s="22"/>
      <c r="F6" s="22"/>
      <c r="G6" s="22"/>
      <c r="H6" s="22"/>
      <c r="I6" s="28" t="s">
        <v>66</v>
      </c>
      <c r="J6" s="22"/>
    </row>
    <row r="7" spans="1:10" ht="21.75" customHeight="1" x14ac:dyDescent="0.35">
      <c r="A7" s="27" t="s">
        <v>7</v>
      </c>
      <c r="B7" s="16" t="s">
        <v>68</v>
      </c>
      <c r="C7" s="16"/>
      <c r="D7" s="16" t="s">
        <v>69</v>
      </c>
      <c r="E7" s="16"/>
      <c r="F7" s="16" t="s">
        <v>70</v>
      </c>
      <c r="G7" s="16" t="s">
        <v>71</v>
      </c>
      <c r="H7" s="16"/>
      <c r="I7" s="30" t="s">
        <v>72</v>
      </c>
      <c r="J7" s="16" t="s">
        <v>73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zoomScaleNormal="100" workbookViewId="0"/>
  </sheetViews>
  <sheetFormatPr baseColWidth="10" defaultColWidth="8.6328125" defaultRowHeight="14.5" x14ac:dyDescent="0.35"/>
  <cols>
    <col min="1" max="1" width="36" customWidth="1"/>
    <col min="2" max="6" width="14" customWidth="1"/>
  </cols>
  <sheetData>
    <row r="1" spans="1:6" ht="36" customHeight="1" x14ac:dyDescent="0.35">
      <c r="A1" s="6" t="s">
        <v>74</v>
      </c>
      <c r="B1" s="6"/>
      <c r="C1" s="6"/>
      <c r="D1" s="6"/>
      <c r="E1" s="6"/>
      <c r="F1" s="6"/>
    </row>
    <row r="2" spans="1:6" ht="18" customHeight="1" x14ac:dyDescent="0.35">
      <c r="A2" s="5" t="s">
        <v>75</v>
      </c>
      <c r="B2" s="5"/>
      <c r="C2" s="5"/>
      <c r="D2" s="5"/>
      <c r="E2" s="5"/>
      <c r="F2" s="5"/>
    </row>
    <row r="3" spans="1:6" ht="27.75" customHeigh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pans="1:6" ht="21.75" customHeight="1" x14ac:dyDescent="0.35">
      <c r="A4" s="11" t="s">
        <v>76</v>
      </c>
      <c r="B4" s="31"/>
      <c r="C4" s="31"/>
      <c r="D4" s="31"/>
      <c r="E4" s="31"/>
      <c r="F4" s="31"/>
    </row>
    <row r="5" spans="1:6" ht="21.75" customHeight="1" x14ac:dyDescent="0.35">
      <c r="A5" s="8" t="s">
        <v>77</v>
      </c>
      <c r="B5" s="32"/>
      <c r="C5" s="32"/>
      <c r="D5" s="32"/>
      <c r="E5" s="32"/>
      <c r="F5" s="32"/>
    </row>
    <row r="6" spans="1:6" ht="21.75" customHeight="1" x14ac:dyDescent="0.35">
      <c r="A6" s="11" t="s">
        <v>78</v>
      </c>
      <c r="B6" s="31"/>
      <c r="C6" s="31"/>
      <c r="D6" s="31"/>
      <c r="E6" s="31"/>
      <c r="F6" s="31"/>
    </row>
    <row r="7" spans="1:6" ht="21.75" customHeight="1" x14ac:dyDescent="0.35">
      <c r="A7" s="8" t="s">
        <v>79</v>
      </c>
      <c r="B7" s="32"/>
      <c r="C7" s="32"/>
      <c r="D7" s="32"/>
      <c r="E7" s="32"/>
      <c r="F7" s="32"/>
    </row>
    <row r="8" spans="1:6" ht="21.75" customHeight="1" x14ac:dyDescent="0.35">
      <c r="A8" s="11" t="s">
        <v>80</v>
      </c>
      <c r="B8" s="31"/>
      <c r="C8" s="31"/>
      <c r="D8" s="31"/>
      <c r="E8" s="31"/>
      <c r="F8" s="31"/>
    </row>
    <row r="9" spans="1:6" ht="21.75" customHeight="1" x14ac:dyDescent="0.35">
      <c r="A9" s="8" t="s">
        <v>81</v>
      </c>
      <c r="B9" s="32"/>
      <c r="C9" s="32"/>
      <c r="D9" s="32"/>
      <c r="E9" s="32"/>
      <c r="F9" s="32"/>
    </row>
    <row r="10" spans="1:6" ht="21.75" customHeight="1" x14ac:dyDescent="0.35">
      <c r="A10" s="11" t="s">
        <v>82</v>
      </c>
      <c r="B10" s="31"/>
      <c r="C10" s="31"/>
      <c r="D10" s="31"/>
      <c r="E10" s="31"/>
      <c r="F10" s="31"/>
    </row>
    <row r="11" spans="1:6" ht="21.75" customHeight="1" x14ac:dyDescent="0.35">
      <c r="A11" s="8" t="s">
        <v>83</v>
      </c>
      <c r="B11" s="32"/>
      <c r="C11" s="32"/>
      <c r="D11" s="32"/>
      <c r="E11" s="32"/>
      <c r="F11" s="32"/>
    </row>
    <row r="12" spans="1:6" ht="21.75" customHeight="1" x14ac:dyDescent="0.35">
      <c r="A12" s="11" t="s">
        <v>84</v>
      </c>
      <c r="B12" s="31"/>
      <c r="C12" s="31"/>
      <c r="D12" s="31"/>
      <c r="E12" s="31"/>
      <c r="F12" s="31"/>
    </row>
    <row r="13" spans="1:6" ht="21.75" customHeight="1" x14ac:dyDescent="0.35">
      <c r="A13" s="8" t="s">
        <v>85</v>
      </c>
      <c r="B13" s="32"/>
      <c r="C13" s="32"/>
      <c r="D13" s="32"/>
      <c r="E13" s="32"/>
      <c r="F13" s="32"/>
    </row>
    <row r="14" spans="1:6" ht="25.5" customHeight="1" x14ac:dyDescent="0.35">
      <c r="A14" s="33" t="s">
        <v>86</v>
      </c>
      <c r="B14" s="34" t="str">
        <f>IFERROR(AVERAGE(B4:B13),"")</f>
        <v/>
      </c>
      <c r="C14" s="34" t="str">
        <f>IFERROR(AVERAGE(C4:C13),"")</f>
        <v/>
      </c>
      <c r="D14" s="34" t="str">
        <f>IFERROR(AVERAGE(D4:D13),"")</f>
        <v/>
      </c>
      <c r="E14" s="34" t="str">
        <f>IFERROR(AVERAGE(E4:E13),"")</f>
        <v/>
      </c>
      <c r="F14" s="34" t="str">
        <f>IFERROR(AVERAGE(F4:F13),"")</f>
        <v/>
      </c>
    </row>
    <row r="15" spans="1:6" ht="21.75" customHeight="1" x14ac:dyDescent="0.35">
      <c r="A15" s="7" t="s">
        <v>87</v>
      </c>
      <c r="B15" s="35" t="str">
        <f>IF(B14="","",IF(B14&gt;=4,"✓ Retenir",IF(B14&gt;=3,"~ À négocier","✗ Éliminer")))</f>
        <v/>
      </c>
      <c r="C15" s="35" t="str">
        <f>IF(C14="","",IF(C14&gt;=4,"✓ Retenir",IF(C14&gt;=3,"~ À négocier","✗ Éliminer")))</f>
        <v/>
      </c>
      <c r="D15" s="35" t="str">
        <f>IF(D14="","",IF(D14&gt;=4,"✓ Retenir",IF(D14&gt;=3,"~ À négocier","✗ Éliminer")))</f>
        <v/>
      </c>
      <c r="E15" s="35" t="str">
        <f>IF(E14="","",IF(E14&gt;=4,"✓ Retenir",IF(E14&gt;=3,"~ À négocier","✗ Éliminer")))</f>
        <v/>
      </c>
      <c r="F15" s="35" t="str">
        <f>IF(F14="","",IF(F14&gt;=4,"✓ Retenir",IF(F14&gt;=3,"~ À négocier","✗ Éliminer")))</f>
        <v/>
      </c>
    </row>
    <row r="17" spans="1:6" ht="15" customHeight="1" x14ac:dyDescent="0.35">
      <c r="A17" s="3" t="s">
        <v>88</v>
      </c>
      <c r="B17" s="3"/>
      <c r="C17" s="3"/>
      <c r="D17" s="3"/>
      <c r="E17" s="3"/>
      <c r="F17" s="3"/>
    </row>
  </sheetData>
  <mergeCells count="3">
    <mergeCell ref="A1:F1"/>
    <mergeCell ref="A2:F2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Grille Comparaison</vt:lpstr>
      <vt:lpstr>Suivi des Prix</vt:lpstr>
      <vt:lpstr>Suivi Contacts</vt:lpstr>
      <vt:lpstr>Checklist Décision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Sira Tiati</cp:lastModifiedBy>
  <cp:revision>0</cp:revision>
  <dcterms:created xsi:type="dcterms:W3CDTF">2026-04-16T21:32:14Z</dcterms:created>
  <dcterms:modified xsi:type="dcterms:W3CDTF">2026-04-17T00:21:40Z</dcterms:modified>
  <dc:language>en-US</dc:language>
</cp:coreProperties>
</file>